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Segment Pricing" sheetId="2" r:id="rId2"/>
    <sheet name="Validation" sheetId="3" r:id="rId3"/>
    <sheet name="Dashboard" sheetId="4" r:id="rId4"/>
    <sheet name="Methodology" sheetId="5" r:id="rId5"/>
  </sheets>
  <calcPr calcId="124519" fullCalcOnLoad="1"/>
</workbook>
</file>

<file path=xl/sharedStrings.xml><?xml version="1.0" encoding="utf-8"?>
<sst xmlns="http://schemas.openxmlformats.org/spreadsheetml/2006/main" count="158" uniqueCount="116">
  <si>
    <t>Automobile Insurance Pricing Analysis — Model Summary</t>
  </si>
  <si>
    <t>Metric</t>
  </si>
  <si>
    <t>Value</t>
  </si>
  <si>
    <t>Unit / Scope</t>
  </si>
  <si>
    <t>Notes</t>
  </si>
  <si>
    <t>Total policies</t>
  </si>
  <si>
    <t>Full portfolio</t>
  </si>
  <si>
    <t>freMTPL2 policy records analyzed</t>
  </si>
  <si>
    <t>Total exposure</t>
  </si>
  <si>
    <t>Policy-years</t>
  </si>
  <si>
    <t>Exposure capped at 1 for modeling</t>
  </si>
  <si>
    <t>Predicted total claims</t>
  </si>
  <si>
    <t>Final Poisson model</t>
  </si>
  <si>
    <t>Predicted claim frequency</t>
  </si>
  <si>
    <t>Claims per policy-year</t>
  </si>
  <si>
    <t>Predicted average severity</t>
  </si>
  <si>
    <t>EUR per claim</t>
  </si>
  <si>
    <t>Final Gamma model</t>
  </si>
  <si>
    <t>Predicted pure premium</t>
  </si>
  <si>
    <t>EUR per policy-year</t>
  </si>
  <si>
    <t>Frequency × severity</t>
  </si>
  <si>
    <t>Predicted total losses</t>
  </si>
  <si>
    <t>EUR</t>
  </si>
  <si>
    <t>Full-portfolio model estimate</t>
  </si>
  <si>
    <t>Validation test policies</t>
  </si>
  <si>
    <t>Holdout set</t>
  </si>
  <si>
    <t>20% matched-data test sample</t>
  </si>
  <si>
    <t>Validation actual pure premium</t>
  </si>
  <si>
    <t>Matched frequency/severity holdout</t>
  </si>
  <si>
    <t>Validation predicted pure premium</t>
  </si>
  <si>
    <t>Validation loss prediction error</t>
  </si>
  <si>
    <t>Percent</t>
  </si>
  <si>
    <t>Predicted vs actual total loss</t>
  </si>
  <si>
    <t>Baseline Tweedie deviance</t>
  </si>
  <si>
    <t>Holdout validation</t>
  </si>
  <si>
    <t>Constant pure-premium baseline</t>
  </si>
  <si>
    <t>Model Tweedie deviance</t>
  </si>
  <si>
    <t>Combined frequency × severity model</t>
  </si>
  <si>
    <t>Tweedie deviance improvement</t>
  </si>
  <si>
    <t>Calculated from baseline and model deviance</t>
  </si>
  <si>
    <t>Ordered Gini coefficient</t>
  </si>
  <si>
    <t>Positive discrimination / risk ranking</t>
  </si>
  <si>
    <t>Model-Based Segment Pricing Relativities</t>
  </si>
  <si>
    <t>Driver Age Group</t>
  </si>
  <si>
    <t>Policies</t>
  </si>
  <si>
    <t>Exposure</t>
  </si>
  <si>
    <t>Expected Claims</t>
  </si>
  <si>
    <t>Expected Losses</t>
  </si>
  <si>
    <t>Predicted Frequency</t>
  </si>
  <si>
    <t>Predicted Severity</t>
  </si>
  <si>
    <t>Predicted Pure Premium</t>
  </si>
  <si>
    <t>Pricing Relativity</t>
  </si>
  <si>
    <t>18-24</t>
  </si>
  <si>
    <t>25-29</t>
  </si>
  <si>
    <t>30-39</t>
  </si>
  <si>
    <t>40-49</t>
  </si>
  <si>
    <t>50-59</t>
  </si>
  <si>
    <t>60-69</t>
  </si>
  <si>
    <t>70+</t>
  </si>
  <si>
    <t>Vehicle Age Group</t>
  </si>
  <si>
    <t>0-1</t>
  </si>
  <si>
    <t>2-5</t>
  </si>
  <si>
    <t>6-10</t>
  </si>
  <si>
    <t>11-15</t>
  </si>
  <si>
    <t>16-20</t>
  </si>
  <si>
    <t>21+</t>
  </si>
  <si>
    <t>Bonus-Malus Group</t>
  </si>
  <si>
    <t>50</t>
  </si>
  <si>
    <t>51-60</t>
  </si>
  <si>
    <t>61-70</t>
  </si>
  <si>
    <t>71-80</t>
  </si>
  <si>
    <t>81-100</t>
  </si>
  <si>
    <t>101+</t>
  </si>
  <si>
    <t>Density Group</t>
  </si>
  <si>
    <t>Very Low</t>
  </si>
  <si>
    <t>Low</t>
  </si>
  <si>
    <t>Medium</t>
  </si>
  <si>
    <t>High</t>
  </si>
  <si>
    <t>Very High</t>
  </si>
  <si>
    <t>Holdout Validation by Predicted Risk Decile</t>
  </si>
  <si>
    <t>Risk Decile</t>
  </si>
  <si>
    <t>Actual Claims</t>
  </si>
  <si>
    <t>Actual Losses</t>
  </si>
  <si>
    <t>Predicted Claims</t>
  </si>
  <si>
    <t>Predicted Losses</t>
  </si>
  <si>
    <t>Actual Pure Premium</t>
  </si>
  <si>
    <t>Actual / Expected</t>
  </si>
  <si>
    <t>Automobile Insurance Pricing Analysis Dashboard</t>
  </si>
  <si>
    <t>Full Portfolio Model</t>
  </si>
  <si>
    <t>Holdout Validation</t>
  </si>
  <si>
    <t>Loss Prediction Error</t>
  </si>
  <si>
    <t>Ordered Gini</t>
  </si>
  <si>
    <t>Project Methodology and Limitations</t>
  </si>
  <si>
    <t>Section</t>
  </si>
  <si>
    <t>Details</t>
  </si>
  <si>
    <t>Business objective</t>
  </si>
  <si>
    <t>Estimate automobile insurance expected claim cost by separating claim frequency and claim severity, then combining the predictions into policy-level pure premium.</t>
  </si>
  <si>
    <t>Frequency model</t>
  </si>
  <si>
    <t>Poisson GLM using policy exposure as observation weight. Rating variables include driver age, vehicle age, bonus-malus, area, brand, fuel type, region, vehicle power, and log population density.</t>
  </si>
  <si>
    <t>Severity model</t>
  </si>
  <si>
    <t>Gamma GLM using claim count as observation weight. The model predicts average claim severity for claim-bearing policies.</t>
  </si>
  <si>
    <t>Pure premium</t>
  </si>
  <si>
    <t>Predicted Frequency × Predicted Severity. Segment pricing relativities compare modeled pure premium with the overall modeled portfolio pure premium.</t>
  </si>
  <si>
    <t>Validation</t>
  </si>
  <si>
    <t>20% holdout sample on a reconciled frequency/severity dataset. Performance reviewed using total-loss calibration, Tweedie deviance, risk deciles, actual-to-expected ratios, and ordered Gini.</t>
  </si>
  <si>
    <t>Key validation result</t>
  </si>
  <si>
    <t>Model Tweedie deviance improved 1.85% over baseline and ordered Gini was 0.2497. Holdout losses were underpredicted by 8.74%, with the largest underprediction concentrated in high-risk deciles.</t>
  </si>
  <si>
    <t>Limitation</t>
  </si>
  <si>
    <t>The public frequency and severity source files do not reconcile perfectly. Combined validation therefore uses only claims with corresponding positive observed claim amounts.</t>
  </si>
  <si>
    <t>Claim counts, exposure, and claim amounts were capped for modeling to limit the influence of extreme records. Results are suitable for portfolio demonstration, not production ratemaking.</t>
  </si>
  <si>
    <t>Source</t>
  </si>
  <si>
    <t>freMTPL2 motor insurance data via OpenML datasets 41214 and 41215.</t>
  </si>
  <si>
    <t>https://www.openml.org</t>
  </si>
  <si>
    <t>Reference</t>
  </si>
  <si>
    <t>Scikit-learn insurance pricing example using Poisson, Gamma, and Tweedie models.</t>
  </si>
  <si>
    <t>https://scikit-learn.org/stable/auto_examples/linear_model/plot_tweedie_regression_insurance_claims.html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</si>
</sst>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#,##0.00"/>
    <numFmt numFmtId="166" formatCode="0.0000"/>
    <numFmt numFmtId="167" formatCode="\€#,##0.00"/>
    <numFmt numFmtId="168" formatCode="0.00%"/>
    <numFmt numFmtId="169" formatCode="0.000"/>
  </numFmts>
  <fonts count="9">
    <font>
      <sz val="11"/>
      <color theme="1"/>
      <name val="Calibri"/>
      <family val="2"/>
      <scheme val="minor"/>
    </font>
    <font>
      <b/>
      <sz val="14"/>
      <color rgb="FFFFFFFF"/>
      <name val="Carlito"/>
      <family val="2"/>
    </font>
    <font>
      <b/>
      <sz val="11"/>
      <color rgb="FFFFFFFF"/>
      <name val="Carlito"/>
      <family val="2"/>
    </font>
    <font>
      <sz val="11"/>
      <color theme="1"/>
      <name val="Carlito"/>
      <family val="2"/>
    </font>
    <font>
      <b/>
      <sz val="18"/>
      <color rgb="FFFFFFFF"/>
      <name val="Carlito"/>
      <family val="2"/>
    </font>
    <font>
      <b/>
      <sz val="12"/>
      <color rgb="FFFFFFFF"/>
      <name val="Carlito"/>
      <family val="2"/>
    </font>
    <font>
      <b/>
      <sz val="11"/>
      <color rgb="FF666666"/>
      <name val="Carlito"/>
      <family val="2"/>
    </font>
    <font>
      <b/>
      <sz val="16"/>
      <color rgb="FF17365D"/>
      <name val="Carlito"/>
      <family val="2"/>
    </font>
    <font>
      <sz val="11"/>
      <color rgb="FF7F6000"/>
      <name val="Carlito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168" fontId="3" fillId="0" borderId="0" xfId="0" applyNumberFormat="1" applyFont="1"/>
    <xf numFmtId="169" fontId="3" fillId="0" borderId="0" xfId="0" applyNumberFormat="1" applyFont="1"/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0" borderId="0" xfId="0" applyFont="1" applyAlignment="1">
      <alignment horizontal="centerContinuous" vertical="center"/>
    </xf>
    <xf numFmtId="164" fontId="7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8" fontId="7" fillId="4" borderId="0" xfId="0" applyNumberFormat="1" applyFont="1" applyFill="1" applyAlignment="1">
      <alignment horizontal="center" vertical="center"/>
    </xf>
    <xf numFmtId="167" fontId="7" fillId="4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167" fontId="7" fillId="6" borderId="0" xfId="0" applyNumberFormat="1" applyFont="1" applyFill="1" applyAlignment="1">
      <alignment horizontal="center" vertical="center"/>
    </xf>
    <xf numFmtId="168" fontId="7" fillId="6" borderId="0" xfId="0" applyNumberFormat="1" applyFont="1" applyFill="1" applyAlignment="1">
      <alignment horizontal="center" vertical="center"/>
    </xf>
    <xf numFmtId="166" fontId="7" fillId="6" borderId="0" xfId="0" applyNumberFormat="1" applyFont="1" applyFill="1" applyAlignment="1">
      <alignment horizontal="center" vertical="center"/>
    </xf>
    <xf numFmtId="0" fontId="8" fillId="7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Predicted Pure Premium</c:v>
          </c:tx>
          <c:spPr>
            <a:solidFill>
              <a:srgbClr val="156082"/>
            </a:solidFill>
            <a:ln>
              <a:noFill/>
            </a:ln>
          </c:spPr>
          <c:cat>
            <c:strRef>
              <c:f>'Segment Pricing'!$A$4:$A$10</c:f>
              <c:strCache>
                <c:ptCount val="7"/>
                <c:pt idx="0">
                  <c:v>18-24</c:v>
                </c:pt>
                <c:pt idx="1">
                  <c:v>25-29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70+</c:v>
                </c:pt>
              </c:strCache>
            </c:strRef>
          </c:cat>
          <c:val>
            <c:numRef>
              <c:f>'Segment Pricing'!$H$4:$H$10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CCCCCC"/>
              </a:solidFill>
              <a:prstDash val="dash"/>
            </a:ln>
          </c:spPr>
        </c:majorGridlines>
        <c:numFmt formatCode="\€#,##0.00" sourceLinked="0"/>
        <c:majorTickMark val="none"/>
        <c:minorTickMark val="none"/>
        <c:tickLblPos val="nextTo"/>
        <c:crossAx val="50010001"/>
        <c:crosses val="autoZero"/>
        <c:crossBetween val="between"/>
      </c:valAx>
      <c:spPr>
        <a:ln>
          <a:noFill/>
        </a:ln>
      </c:spPr>
    </c:plotArea>
    <c:legend>
      <c:legendPos val="b"/>
      <c:layout/>
    </c:legend>
    <c:plotVisOnly val="1"/>
  </c:chart>
  <c:spPr>
    <a:ln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Predicted Pure Premium</c:v>
          </c:tx>
          <c:spPr>
            <a:solidFill>
              <a:srgbClr val="156082"/>
            </a:solidFill>
            <a:ln>
              <a:noFill/>
            </a:ln>
          </c:spPr>
          <c:cat>
            <c:strRef>
              <c:f>'Segment Pricing'!$A$23:$A$28</c:f>
              <c:strCache>
                <c:ptCount val="6"/>
                <c:pt idx="0">
                  <c:v>50</c:v>
                </c:pt>
                <c:pt idx="1">
                  <c:v>51-60</c:v>
                </c:pt>
                <c:pt idx="2">
                  <c:v>61-70</c:v>
                </c:pt>
                <c:pt idx="3">
                  <c:v>71-80</c:v>
                </c:pt>
                <c:pt idx="4">
                  <c:v>81-100</c:v>
                </c:pt>
                <c:pt idx="5">
                  <c:v>101+</c:v>
                </c:pt>
              </c:strCache>
            </c:strRef>
          </c:cat>
          <c:val>
            <c:numRef>
              <c:f>'Segment Pricing'!$H$23:$H$28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majorTickMark val="none"/>
        <c:minorTickMark val="none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CCCCCC"/>
              </a:solidFill>
              <a:prstDash val="dash"/>
            </a:ln>
          </c:spPr>
        </c:majorGridlines>
        <c:numFmt formatCode="\€#,##0.00" sourceLinked="0"/>
        <c:majorTickMark val="none"/>
        <c:minorTickMark val="none"/>
        <c:tickLblPos val="nextTo"/>
        <c:crossAx val="50020001"/>
        <c:crosses val="autoZero"/>
        <c:crossBetween val="between"/>
      </c:valAx>
      <c:spPr>
        <a:ln>
          <a:noFill/>
        </a:ln>
      </c:spPr>
    </c:plotArea>
    <c:legend>
      <c:legendPos val="b"/>
      <c:layout/>
    </c:legend>
    <c:plotVisOnly val="1"/>
  </c:chart>
  <c:spPr>
    <a:ln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Predicted Pure Premium</c:v>
          </c:tx>
          <c:spPr>
            <a:solidFill>
              <a:srgbClr val="156082"/>
            </a:solidFill>
            <a:ln>
              <a:noFill/>
            </a:ln>
          </c:spPr>
          <c:cat>
            <c:strRef>
              <c:f>'Segment Pricing'!$A$32:$A$36</c:f>
              <c:strCache>
                <c:ptCount val="5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</c:strCache>
            </c:strRef>
          </c:cat>
          <c:val>
            <c:numRef>
              <c:f>'Segment Pricing'!$H$32:$H$36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majorTickMark val="none"/>
        <c:minorTickMark val="none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CCCCCC"/>
              </a:solidFill>
              <a:prstDash val="dash"/>
            </a:ln>
          </c:spPr>
        </c:majorGridlines>
        <c:numFmt formatCode="\€#,##0.00" sourceLinked="0"/>
        <c:majorTickMark val="none"/>
        <c:minorTickMark val="none"/>
        <c:tickLblPos val="nextTo"/>
        <c:crossAx val="50030001"/>
        <c:crosses val="autoZero"/>
        <c:crossBetween val="between"/>
      </c:valAx>
      <c:spPr>
        <a:ln>
          <a:noFill/>
        </a:ln>
      </c:spPr>
    </c:plotArea>
    <c:legend>
      <c:legendPos val="b"/>
      <c:layout/>
    </c:legend>
    <c:plotVisOnly val="1"/>
  </c:chart>
  <c:spPr>
    <a:ln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ndard"/>
        <c:ser>
          <c:idx val="0"/>
          <c:order val="0"/>
          <c:tx>
            <c:v>Actual</c:v>
          </c:tx>
          <c:spPr>
            <a:ln w="25400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Validation!$A$4:$A$13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Validation!$H$4:$H$13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v>Predicted</c:v>
          </c:tx>
          <c:spPr>
            <a:ln w="25400">
              <a:solidFill>
                <a:srgbClr val="E97132"/>
              </a:solidFill>
            </a:ln>
          </c:spPr>
          <c:marker>
            <c:symbol val="none"/>
          </c:marker>
          <c:cat>
            <c:numRef>
              <c:f>Validation!$A$4:$A$13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Validation!$I$4:$I$13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1"/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numFmt formatCode="0" sourceLinked="0"/>
        <c:majorTickMark val="none"/>
        <c:minorTickMark val="none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CCCCCC"/>
              </a:solidFill>
              <a:prstDash val="dash"/>
            </a:ln>
          </c:spPr>
        </c:majorGridlines>
        <c:numFmt formatCode="\€#,##0.00" sourceLinked="0"/>
        <c:majorTickMark val="none"/>
        <c:minorTickMark val="none"/>
        <c:tickLblPos val="nextTo"/>
        <c:crossAx val="50040001"/>
        <c:crosses val="autoZero"/>
        <c:crossBetween val="between"/>
      </c:valAx>
      <c:spPr>
        <a:ln>
          <a:noFill/>
        </a:ln>
      </c:spPr>
    </c:plotArea>
    <c:legend>
      <c:legendPos val="b"/>
      <c:layout/>
    </c:legend>
    <c:plotVisOnly val="1"/>
  </c:chart>
  <c:spPr>
    <a:ln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6</xdr:col>
      <xdr:colOff>552450</xdr:colOff>
      <xdr:row>34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571500</xdr:colOff>
      <xdr:row>18</xdr:row>
      <xdr:rowOff>0</xdr:rowOff>
    </xdr:from>
    <xdr:to>
      <xdr:col>13</xdr:col>
      <xdr:colOff>114300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6</xdr:col>
      <xdr:colOff>552450</xdr:colOff>
      <xdr:row>51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571500</xdr:colOff>
      <xdr:row>35</xdr:row>
      <xdr:rowOff>0</xdr:rowOff>
    </xdr:from>
    <xdr:to>
      <xdr:col>13</xdr:col>
      <xdr:colOff>114300</xdr:colOff>
      <xdr:row>51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penml.org" TargetMode="External"/><Relationship Id="rId2" Type="http://schemas.openxmlformats.org/officeDocument/2006/relationships/hyperlink" Target="https://scikit-learn.org/stable/auto_examples/linear_model/plot_tweedie_regression_insurance_claim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34.7109375" customWidth="1"/>
    <col min="2" max="2" width="16.7109375" customWidth="1"/>
    <col min="3" max="3" width="24.7109375" customWidth="1"/>
    <col min="4" max="4" width="4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4">
        <v>678013</v>
      </c>
      <c r="C4" s="3" t="s">
        <v>6</v>
      </c>
      <c r="D4" s="3" t="s">
        <v>7</v>
      </c>
    </row>
    <row r="5" spans="1:4">
      <c r="A5" s="3" t="s">
        <v>8</v>
      </c>
      <c r="B5" s="5">
        <v>358360.1054629838</v>
      </c>
      <c r="C5" s="3" t="s">
        <v>9</v>
      </c>
      <c r="D5" s="3" t="s">
        <v>10</v>
      </c>
    </row>
    <row r="6" spans="1:4">
      <c r="A6" s="3" t="s">
        <v>11</v>
      </c>
      <c r="B6" s="5">
        <v>36055.38635600129</v>
      </c>
      <c r="C6" s="3" t="s">
        <v>6</v>
      </c>
      <c r="D6" s="3" t="s">
        <v>12</v>
      </c>
    </row>
    <row r="7" spans="1:4">
      <c r="A7" s="3" t="s">
        <v>13</v>
      </c>
      <c r="B7" s="6">
        <f>B6/B5</f>
        <v>0</v>
      </c>
      <c r="C7" s="3" t="s">
        <v>14</v>
      </c>
      <c r="D7" s="3" t="s">
        <v>12</v>
      </c>
    </row>
    <row r="8" spans="1:4">
      <c r="A8" s="3" t="s">
        <v>15</v>
      </c>
      <c r="B8" s="7">
        <f>B10/B6</f>
        <v>0</v>
      </c>
      <c r="C8" s="3" t="s">
        <v>16</v>
      </c>
      <c r="D8" s="3" t="s">
        <v>17</v>
      </c>
    </row>
    <row r="9" spans="1:4">
      <c r="A9" s="3" t="s">
        <v>18</v>
      </c>
      <c r="B9" s="7">
        <f>B10/B5</f>
        <v>0</v>
      </c>
      <c r="C9" s="3" t="s">
        <v>19</v>
      </c>
      <c r="D9" s="3" t="s">
        <v>20</v>
      </c>
    </row>
    <row r="10" spans="1:4">
      <c r="A10" s="3" t="s">
        <v>21</v>
      </c>
      <c r="B10" s="7">
        <v>69464292.40376382</v>
      </c>
      <c r="C10" s="3" t="s">
        <v>22</v>
      </c>
      <c r="D10" s="3" t="s">
        <v>23</v>
      </c>
    </row>
    <row r="11" spans="1:4">
      <c r="A11" s="3" t="s">
        <v>24</v>
      </c>
      <c r="B11" s="4">
        <v>135603</v>
      </c>
      <c r="C11" s="3" t="s">
        <v>25</v>
      </c>
      <c r="D11" s="3" t="s">
        <v>26</v>
      </c>
    </row>
    <row r="12" spans="1:4">
      <c r="A12" s="3" t="s">
        <v>27</v>
      </c>
      <c r="B12" s="7">
        <f>'Validation'!E4+'Validation'!E5+'Validation'!E6+'Validation'!E7+'Validation'!E8+'Validation'!E9+'Validation'!E10+'Validation'!E11+'Validation'!E12+'Validation'!E13/('Validation'!C4+'Validation'!C5+'Validation'!C6+'Validation'!C7+'Validation'!C8+'Validation'!C9+'Validation'!C10+'Validation'!C11+'Validation'!C12+'Validation'!C13)</f>
        <v>0</v>
      </c>
      <c r="C12" s="3" t="s">
        <v>19</v>
      </c>
      <c r="D12" s="3" t="s">
        <v>28</v>
      </c>
    </row>
    <row r="13" spans="1:4">
      <c r="A13" s="3" t="s">
        <v>29</v>
      </c>
      <c r="B13" s="7">
        <f>'Validation'!G4+'Validation'!G5+'Validation'!G6+'Validation'!G7+'Validation'!G8+'Validation'!G9+'Validation'!G10+'Validation'!G11+'Validation'!G12+'Validation'!G13/('Validation'!C4+'Validation'!C5+'Validation'!C6+'Validation'!C7+'Validation'!C8+'Validation'!C9+'Validation'!C10+'Validation'!C11+'Validation'!C12+'Validation'!C13)</f>
        <v>0</v>
      </c>
      <c r="C13" s="3" t="s">
        <v>19</v>
      </c>
      <c r="D13" s="3" t="s">
        <v>28</v>
      </c>
    </row>
    <row r="14" spans="1:4">
      <c r="A14" s="3" t="s">
        <v>30</v>
      </c>
      <c r="B14" s="8">
        <f>(SUM('Validation'!G4:G13)-SUM('Validation'!E4:E13))/SUM('Validation'!E4:E13)</f>
        <v>0</v>
      </c>
      <c r="C14" s="3" t="s">
        <v>31</v>
      </c>
      <c r="D14" s="3" t="s">
        <v>32</v>
      </c>
    </row>
    <row r="15" spans="1:4">
      <c r="A15" s="3" t="s">
        <v>33</v>
      </c>
      <c r="B15" s="6">
        <v>82.84268194975964</v>
      </c>
      <c r="C15" s="3" t="s">
        <v>34</v>
      </c>
      <c r="D15" s="3" t="s">
        <v>35</v>
      </c>
    </row>
    <row r="16" spans="1:4">
      <c r="A16" s="3" t="s">
        <v>36</v>
      </c>
      <c r="B16" s="6">
        <v>81.30938959905279</v>
      </c>
      <c r="C16" s="3" t="s">
        <v>34</v>
      </c>
      <c r="D16" s="3" t="s">
        <v>37</v>
      </c>
    </row>
    <row r="17" spans="1:4">
      <c r="A17" s="3" t="s">
        <v>38</v>
      </c>
      <c r="B17" s="8">
        <f>(B15-B16)/B15</f>
        <v>0</v>
      </c>
      <c r="C17" s="3" t="s">
        <v>31</v>
      </c>
      <c r="D17" s="3" t="s">
        <v>39</v>
      </c>
    </row>
    <row r="18" spans="1:4">
      <c r="A18" s="3" t="s">
        <v>40</v>
      </c>
      <c r="B18" s="6">
        <v>0.2496537637553343</v>
      </c>
      <c r="C18" s="3" t="s">
        <v>34</v>
      </c>
      <c r="D18" s="3" t="s">
        <v>41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.7109375" customWidth="1"/>
    <col min="2" max="2" width="12.7109375" customWidth="1"/>
    <col min="3" max="4" width="14.7109375" customWidth="1"/>
    <col min="5" max="6" width="16.7109375" customWidth="1"/>
    <col min="7" max="8" width="18.7109375" customWidth="1"/>
    <col min="9" max="9" width="16.7109375" customWidth="1"/>
  </cols>
  <sheetData>
    <row r="1" spans="1:9">
      <c r="A1" s="1" t="s">
        <v>42</v>
      </c>
      <c r="B1" s="1"/>
      <c r="C1" s="1"/>
      <c r="D1" s="1"/>
      <c r="E1" s="1"/>
      <c r="F1" s="1"/>
      <c r="G1" s="1"/>
      <c r="H1" s="1"/>
      <c r="I1" s="1"/>
    </row>
    <row r="3" spans="1:9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</row>
    <row r="4" spans="1:9">
      <c r="A4" s="3" t="s">
        <v>52</v>
      </c>
      <c r="B4" s="4">
        <v>30198</v>
      </c>
      <c r="C4" s="5">
        <v>12488.89108466203</v>
      </c>
      <c r="D4" s="5">
        <v>1403.544350590964</v>
      </c>
      <c r="E4" s="7">
        <v>3303633.562077051</v>
      </c>
      <c r="F4" s="6">
        <f>D4/C4</f>
        <v>0</v>
      </c>
      <c r="G4" s="7">
        <f>E4/D4</f>
        <v>0</v>
      </c>
      <c r="H4" s="7">
        <f>E4/C4</f>
        <v>0</v>
      </c>
      <c r="I4" s="9">
        <f>H4/'Model Summary'!$B$9</f>
        <v>0</v>
      </c>
    </row>
    <row r="5" spans="1:9">
      <c r="A5" s="3" t="s">
        <v>53</v>
      </c>
      <c r="B5" s="4">
        <v>58807</v>
      </c>
      <c r="C5" s="5">
        <v>25775.65057938468</v>
      </c>
      <c r="D5" s="5">
        <v>2820.059603768057</v>
      </c>
      <c r="E5" s="7">
        <v>5673013.838443177</v>
      </c>
      <c r="F5" s="6">
        <f>D5/C5</f>
        <v>0</v>
      </c>
      <c r="G5" s="7">
        <f>E5/D5</f>
        <v>0</v>
      </c>
      <c r="H5" s="7">
        <f>E5/C5</f>
        <v>0</v>
      </c>
      <c r="I5" s="9">
        <f>H5/'Model Summary'!$B$9</f>
        <v>0</v>
      </c>
    </row>
    <row r="6" spans="1:9">
      <c r="A6" s="3" t="s">
        <v>54</v>
      </c>
      <c r="B6" s="4">
        <v>168564</v>
      </c>
      <c r="C6" s="5">
        <v>82320.26846545401</v>
      </c>
      <c r="D6" s="5">
        <v>8296.406678634728</v>
      </c>
      <c r="E6" s="7">
        <v>15975628.80873299</v>
      </c>
      <c r="F6" s="6">
        <f>D6/C6</f>
        <v>0</v>
      </c>
      <c r="G6" s="7">
        <f>E6/D6</f>
        <v>0</v>
      </c>
      <c r="H6" s="7">
        <f>E6/C6</f>
        <v>0</v>
      </c>
      <c r="I6" s="9">
        <f>H6/'Model Summary'!$B$9</f>
        <v>0</v>
      </c>
    </row>
    <row r="7" spans="1:9">
      <c r="A7" s="3" t="s">
        <v>55</v>
      </c>
      <c r="B7" s="4">
        <v>165702</v>
      </c>
      <c r="C7" s="5">
        <v>87645.36605359682</v>
      </c>
      <c r="D7" s="5">
        <v>8799.143430787266</v>
      </c>
      <c r="E7" s="7">
        <v>15967085.84719317</v>
      </c>
      <c r="F7" s="6">
        <f>D7/C7</f>
        <v>0</v>
      </c>
      <c r="G7" s="7">
        <f>E7/D7</f>
        <v>0</v>
      </c>
      <c r="H7" s="7">
        <f>E7/C7</f>
        <v>0</v>
      </c>
      <c r="I7" s="9">
        <f>H7/'Model Summary'!$B$9</f>
        <v>0</v>
      </c>
    </row>
    <row r="8" spans="1:9">
      <c r="A8" s="3" t="s">
        <v>56</v>
      </c>
      <c r="B8" s="4">
        <v>142600</v>
      </c>
      <c r="C8" s="5">
        <v>79880.8584527285</v>
      </c>
      <c r="D8" s="5">
        <v>7882.083551790333</v>
      </c>
      <c r="E8" s="7">
        <v>14693640.47938083</v>
      </c>
      <c r="F8" s="6">
        <f>D8/C8</f>
        <v>0</v>
      </c>
      <c r="G8" s="7">
        <f>E8/D8</f>
        <v>0</v>
      </c>
      <c r="H8" s="7">
        <f>E8/C8</f>
        <v>0</v>
      </c>
      <c r="I8" s="9">
        <f>H8/'Model Summary'!$B$9</f>
        <v>0</v>
      </c>
    </row>
    <row r="9" spans="1:9">
      <c r="A9" s="3" t="s">
        <v>57</v>
      </c>
      <c r="B9" s="4">
        <v>67812</v>
      </c>
      <c r="C9" s="5">
        <v>40077.47178606183</v>
      </c>
      <c r="D9" s="5">
        <v>3926.32488558591</v>
      </c>
      <c r="E9" s="7">
        <v>7374387.949601093</v>
      </c>
      <c r="F9" s="6">
        <f>D9/C9</f>
        <v>0</v>
      </c>
      <c r="G9" s="7">
        <f>E9/D9</f>
        <v>0</v>
      </c>
      <c r="H9" s="7">
        <f>E9/C9</f>
        <v>0</v>
      </c>
      <c r="I9" s="9">
        <f>H9/'Model Summary'!$B$9</f>
        <v>0</v>
      </c>
    </row>
    <row r="10" spans="1:9">
      <c r="A10" s="3" t="s">
        <v>58</v>
      </c>
      <c r="B10" s="4">
        <v>44330</v>
      </c>
      <c r="C10" s="5">
        <v>30171.59904109589</v>
      </c>
      <c r="D10" s="5">
        <v>2927.823854844067</v>
      </c>
      <c r="E10" s="7">
        <v>6476901.91833549</v>
      </c>
      <c r="F10" s="6">
        <f>D10/C10</f>
        <v>0</v>
      </c>
      <c r="G10" s="7">
        <f>E10/D10</f>
        <v>0</v>
      </c>
      <c r="H10" s="7">
        <f>E10/C10</f>
        <v>0</v>
      </c>
      <c r="I10" s="9">
        <f>H10/'Model Summary'!$B$9</f>
        <v>0</v>
      </c>
    </row>
    <row r="13" spans="1:9">
      <c r="A13" s="2" t="s">
        <v>59</v>
      </c>
      <c r="B13" s="2" t="s">
        <v>44</v>
      </c>
      <c r="C13" s="2" t="s">
        <v>45</v>
      </c>
      <c r="D13" s="2" t="s">
        <v>46</v>
      </c>
      <c r="E13" s="2" t="s">
        <v>47</v>
      </c>
      <c r="F13" s="2" t="s">
        <v>48</v>
      </c>
      <c r="G13" s="2" t="s">
        <v>49</v>
      </c>
      <c r="H13" s="2" t="s">
        <v>50</v>
      </c>
      <c r="I13" s="2" t="s">
        <v>51</v>
      </c>
    </row>
    <row r="14" spans="1:9">
      <c r="A14" s="3" t="s">
        <v>60</v>
      </c>
      <c r="B14" s="4">
        <v>129023</v>
      </c>
      <c r="C14" s="5">
        <v>49437.69634778053</v>
      </c>
      <c r="D14" s="5">
        <v>5555.245500965162</v>
      </c>
      <c r="E14" s="7">
        <v>10955382.09856916</v>
      </c>
      <c r="F14" s="6">
        <f>D14/C14</f>
        <v>0</v>
      </c>
      <c r="G14" s="7">
        <f>E14/D14</f>
        <v>0</v>
      </c>
      <c r="H14" s="7">
        <f>E14/C14</f>
        <v>0</v>
      </c>
      <c r="I14" s="9">
        <f>H14/'Model Summary'!$B$9</f>
        <v>0</v>
      </c>
    </row>
    <row r="15" spans="1:9">
      <c r="A15" s="3" t="s">
        <v>61</v>
      </c>
      <c r="B15" s="4">
        <v>191614</v>
      </c>
      <c r="C15" s="5">
        <v>101721.3627764054</v>
      </c>
      <c r="D15" s="5">
        <v>10146.18279374373</v>
      </c>
      <c r="E15" s="7">
        <v>19625658.46705463</v>
      </c>
      <c r="F15" s="6">
        <f>D15/C15</f>
        <v>0</v>
      </c>
      <c r="G15" s="7">
        <f>E15/D15</f>
        <v>0</v>
      </c>
      <c r="H15" s="7">
        <f>E15/C15</f>
        <v>0</v>
      </c>
      <c r="I15" s="9">
        <f>H15/'Model Summary'!$B$9</f>
        <v>0</v>
      </c>
    </row>
    <row r="16" spans="1:9">
      <c r="A16" s="3" t="s">
        <v>62</v>
      </c>
      <c r="B16" s="4">
        <v>171594</v>
      </c>
      <c r="C16" s="5">
        <v>98974.29636050602</v>
      </c>
      <c r="D16" s="5">
        <v>9876.394452438037</v>
      </c>
      <c r="E16" s="7">
        <v>18558422.54020852</v>
      </c>
      <c r="F16" s="6">
        <f>D16/C16</f>
        <v>0</v>
      </c>
      <c r="G16" s="7">
        <f>E16/D16</f>
        <v>0</v>
      </c>
      <c r="H16" s="7">
        <f>E16/C16</f>
        <v>0</v>
      </c>
      <c r="I16" s="9">
        <f>H16/'Model Summary'!$B$9</f>
        <v>0</v>
      </c>
    </row>
    <row r="17" spans="1:9">
      <c r="A17" s="3" t="s">
        <v>63</v>
      </c>
      <c r="B17" s="4">
        <v>134063</v>
      </c>
      <c r="C17" s="5">
        <v>77954.99540684183</v>
      </c>
      <c r="D17" s="5">
        <v>7550.270815527955</v>
      </c>
      <c r="E17" s="7">
        <v>14664081.40542962</v>
      </c>
      <c r="F17" s="6">
        <f>D17/C17</f>
        <v>0</v>
      </c>
      <c r="G17" s="7">
        <f>E17/D17</f>
        <v>0</v>
      </c>
      <c r="H17" s="7">
        <f>E17/C17</f>
        <v>0</v>
      </c>
      <c r="I17" s="9">
        <f>H17/'Model Summary'!$B$9</f>
        <v>0</v>
      </c>
    </row>
    <row r="18" spans="1:9">
      <c r="A18" s="3" t="s">
        <v>64</v>
      </c>
      <c r="B18" s="4">
        <v>43397</v>
      </c>
      <c r="C18" s="5">
        <v>25127.16860693166</v>
      </c>
      <c r="D18" s="5">
        <v>2432.39857941838</v>
      </c>
      <c r="E18" s="7">
        <v>4687911.618297908</v>
      </c>
      <c r="F18" s="6">
        <f>D18/C18</f>
        <v>0</v>
      </c>
      <c r="G18" s="7">
        <f>E18/D18</f>
        <v>0</v>
      </c>
      <c r="H18" s="7">
        <f>E18/C18</f>
        <v>0</v>
      </c>
      <c r="I18" s="9">
        <f>H18/'Model Summary'!$B$9</f>
        <v>0</v>
      </c>
    </row>
    <row r="19" spans="1:9">
      <c r="A19" s="3" t="s">
        <v>65</v>
      </c>
      <c r="B19" s="4">
        <v>8322</v>
      </c>
      <c r="C19" s="5">
        <v>5144.585964518303</v>
      </c>
      <c r="D19" s="5">
        <v>494.8942139080606</v>
      </c>
      <c r="E19" s="7">
        <v>972836.2742039692</v>
      </c>
      <c r="F19" s="6">
        <f>D19/C19</f>
        <v>0</v>
      </c>
      <c r="G19" s="7">
        <f>E19/D19</f>
        <v>0</v>
      </c>
      <c r="H19" s="7">
        <f>E19/C19</f>
        <v>0</v>
      </c>
      <c r="I19" s="9">
        <f>H19/'Model Summary'!$B$9</f>
        <v>0</v>
      </c>
    </row>
    <row r="22" spans="1:9">
      <c r="A22" s="2" t="s">
        <v>66</v>
      </c>
      <c r="B22" s="2" t="s">
        <v>44</v>
      </c>
      <c r="C22" s="2" t="s">
        <v>45</v>
      </c>
      <c r="D22" s="2" t="s">
        <v>46</v>
      </c>
      <c r="E22" s="2" t="s">
        <v>47</v>
      </c>
      <c r="F22" s="2" t="s">
        <v>48</v>
      </c>
      <c r="G22" s="2" t="s">
        <v>49</v>
      </c>
      <c r="H22" s="2" t="s">
        <v>50</v>
      </c>
      <c r="I22" s="2" t="s">
        <v>51</v>
      </c>
    </row>
    <row r="23" spans="1:9">
      <c r="A23" s="3" t="s">
        <v>67</v>
      </c>
      <c r="B23" s="4">
        <v>384156</v>
      </c>
      <c r="C23" s="5">
        <v>225152.6509027622</v>
      </c>
      <c r="D23" s="5">
        <v>21540.29614219308</v>
      </c>
      <c r="E23" s="7">
        <v>40492500.44049716</v>
      </c>
      <c r="F23" s="6">
        <f>D23/C23</f>
        <v>0</v>
      </c>
      <c r="G23" s="7">
        <f>E23/D23</f>
        <v>0</v>
      </c>
      <c r="H23" s="7">
        <f>E23/C23</f>
        <v>0</v>
      </c>
      <c r="I23" s="9">
        <f>H23/'Model Summary'!$B$9</f>
        <v>0</v>
      </c>
    </row>
    <row r="24" spans="1:9">
      <c r="A24" s="3" t="s">
        <v>68</v>
      </c>
      <c r="B24" s="4">
        <v>94446</v>
      </c>
      <c r="C24" s="5">
        <v>47958.46701324949</v>
      </c>
      <c r="D24" s="5">
        <v>5025.431974714496</v>
      </c>
      <c r="E24" s="7">
        <v>9667361.589105127</v>
      </c>
      <c r="F24" s="6">
        <f>D24/C24</f>
        <v>0</v>
      </c>
      <c r="G24" s="7">
        <f>E24/D24</f>
        <v>0</v>
      </c>
      <c r="H24" s="7">
        <f>E24/C24</f>
        <v>0</v>
      </c>
      <c r="I24" s="9">
        <f>H24/'Model Summary'!$B$9</f>
        <v>0</v>
      </c>
    </row>
    <row r="25" spans="1:9">
      <c r="A25" s="3" t="s">
        <v>69</v>
      </c>
      <c r="B25" s="4">
        <v>56929</v>
      </c>
      <c r="C25" s="5">
        <v>26484.08349951344</v>
      </c>
      <c r="D25" s="5">
        <v>2897.146403692856</v>
      </c>
      <c r="E25" s="7">
        <v>5357561.147539918</v>
      </c>
      <c r="F25" s="6">
        <f>D25/C25</f>
        <v>0</v>
      </c>
      <c r="G25" s="7">
        <f>E25/D25</f>
        <v>0</v>
      </c>
      <c r="H25" s="7">
        <f>E25/C25</f>
        <v>0</v>
      </c>
      <c r="I25" s="9">
        <f>H25/'Model Summary'!$B$9</f>
        <v>0</v>
      </c>
    </row>
    <row r="26" spans="1:9">
      <c r="A26" s="3" t="s">
        <v>70</v>
      </c>
      <c r="B26" s="4">
        <v>61826</v>
      </c>
      <c r="C26" s="5">
        <v>26555.70329440826</v>
      </c>
      <c r="D26" s="5">
        <v>2904.446085340298</v>
      </c>
      <c r="E26" s="7">
        <v>6054360.359907338</v>
      </c>
      <c r="F26" s="6">
        <f>D26/C26</f>
        <v>0</v>
      </c>
      <c r="G26" s="7">
        <f>E26/D26</f>
        <v>0</v>
      </c>
      <c r="H26" s="7">
        <f>E26/C26</f>
        <v>0</v>
      </c>
      <c r="I26" s="9">
        <f>H26/'Model Summary'!$B$9</f>
        <v>0</v>
      </c>
    </row>
    <row r="27" spans="1:9">
      <c r="A27" s="3" t="s">
        <v>71</v>
      </c>
      <c r="B27" s="4">
        <v>72862</v>
      </c>
      <c r="C27" s="5">
        <v>28638.471750131</v>
      </c>
      <c r="D27" s="5">
        <v>3288.400403056192</v>
      </c>
      <c r="E27" s="7">
        <v>7086654.916667651</v>
      </c>
      <c r="F27" s="6">
        <f>D27/C27</f>
        <v>0</v>
      </c>
      <c r="G27" s="7">
        <f>E27/D27</f>
        <v>0</v>
      </c>
      <c r="H27" s="7">
        <f>E27/C27</f>
        <v>0</v>
      </c>
      <c r="I27" s="9">
        <f>H27/'Model Summary'!$B$9</f>
        <v>0</v>
      </c>
    </row>
    <row r="28" spans="1:9">
      <c r="A28" s="3" t="s">
        <v>72</v>
      </c>
      <c r="B28" s="4">
        <v>7794</v>
      </c>
      <c r="C28" s="5">
        <v>3570.72900291938</v>
      </c>
      <c r="D28" s="5">
        <v>399.6653470043971</v>
      </c>
      <c r="E28" s="7">
        <v>805853.950046606</v>
      </c>
      <c r="F28" s="6">
        <f>D28/C28</f>
        <v>0</v>
      </c>
      <c r="G28" s="7">
        <f>E28/D28</f>
        <v>0</v>
      </c>
      <c r="H28" s="7">
        <f>E28/C28</f>
        <v>0</v>
      </c>
      <c r="I28" s="9">
        <f>H28/'Model Summary'!$B$9</f>
        <v>0</v>
      </c>
    </row>
    <row r="31" spans="1:9">
      <c r="A31" s="2" t="s">
        <v>73</v>
      </c>
      <c r="B31" s="2" t="s">
        <v>44</v>
      </c>
      <c r="C31" s="2" t="s">
        <v>45</v>
      </c>
      <c r="D31" s="2" t="s">
        <v>46</v>
      </c>
      <c r="E31" s="2" t="s">
        <v>47</v>
      </c>
      <c r="F31" s="2" t="s">
        <v>48</v>
      </c>
      <c r="G31" s="2" t="s">
        <v>49</v>
      </c>
      <c r="H31" s="2" t="s">
        <v>50</v>
      </c>
      <c r="I31" s="2" t="s">
        <v>51</v>
      </c>
    </row>
    <row r="32" spans="1:9">
      <c r="A32" s="3" t="s">
        <v>74</v>
      </c>
      <c r="B32" s="4">
        <v>137340</v>
      </c>
      <c r="C32" s="5">
        <v>81391.98956508721</v>
      </c>
      <c r="D32" s="5">
        <v>7301.484522841153</v>
      </c>
      <c r="E32" s="7">
        <v>14811119.3013887</v>
      </c>
      <c r="F32" s="6">
        <f>D32/C32</f>
        <v>0</v>
      </c>
      <c r="G32" s="7">
        <f>E32/D32</f>
        <v>0</v>
      </c>
      <c r="H32" s="7">
        <f>E32/C32</f>
        <v>0</v>
      </c>
      <c r="I32" s="9">
        <f>H32/'Model Summary'!$B$9</f>
        <v>0</v>
      </c>
    </row>
    <row r="33" spans="1:9">
      <c r="A33" s="3" t="s">
        <v>75</v>
      </c>
      <c r="B33" s="4">
        <v>134178</v>
      </c>
      <c r="C33" s="5">
        <v>74079.35956957856</v>
      </c>
      <c r="D33" s="5">
        <v>7062.513158536972</v>
      </c>
      <c r="E33" s="7">
        <v>13081579.3166609</v>
      </c>
      <c r="F33" s="6">
        <f>D33/C33</f>
        <v>0</v>
      </c>
      <c r="G33" s="7">
        <f>E33/D33</f>
        <v>0</v>
      </c>
      <c r="H33" s="7">
        <f>E33/C33</f>
        <v>0</v>
      </c>
      <c r="I33" s="9">
        <f>H33/'Model Summary'!$B$9</f>
        <v>0</v>
      </c>
    </row>
    <row r="34" spans="1:9">
      <c r="A34" s="3" t="s">
        <v>76</v>
      </c>
      <c r="B34" s="4">
        <v>135398</v>
      </c>
      <c r="C34" s="5">
        <v>72007.45158544801</v>
      </c>
      <c r="D34" s="5">
        <v>7207.947442797799</v>
      </c>
      <c r="E34" s="7">
        <v>13522531.64709528</v>
      </c>
      <c r="F34" s="6">
        <f>D34/C34</f>
        <v>0</v>
      </c>
      <c r="G34" s="7">
        <f>E34/D34</f>
        <v>0</v>
      </c>
      <c r="H34" s="7">
        <f>E34/C34</f>
        <v>0</v>
      </c>
      <c r="I34" s="9">
        <f>H34/'Model Summary'!$B$9</f>
        <v>0</v>
      </c>
    </row>
    <row r="35" spans="1:9">
      <c r="A35" s="3" t="s">
        <v>77</v>
      </c>
      <c r="B35" s="4">
        <v>137845</v>
      </c>
      <c r="C35" s="5">
        <v>69456.81392469496</v>
      </c>
      <c r="D35" s="5">
        <v>7414.164460954822</v>
      </c>
      <c r="E35" s="7">
        <v>14543123.32143283</v>
      </c>
      <c r="F35" s="6">
        <f>D35/C35</f>
        <v>0</v>
      </c>
      <c r="G35" s="7">
        <f>E35/D35</f>
        <v>0</v>
      </c>
      <c r="H35" s="7">
        <f>E35/C35</f>
        <v>0</v>
      </c>
      <c r="I35" s="9">
        <f>H35/'Model Summary'!$B$9</f>
        <v>0</v>
      </c>
    </row>
    <row r="36" spans="1:9">
      <c r="A36" s="3" t="s">
        <v>78</v>
      </c>
      <c r="B36" s="4">
        <v>133252</v>
      </c>
      <c r="C36" s="5">
        <v>61424.49081817501</v>
      </c>
      <c r="D36" s="5">
        <v>7069.27677087058</v>
      </c>
      <c r="E36" s="7">
        <v>13505938.81718609</v>
      </c>
      <c r="F36" s="6">
        <f>D36/C36</f>
        <v>0</v>
      </c>
      <c r="G36" s="7">
        <f>E36/D36</f>
        <v>0</v>
      </c>
      <c r="H36" s="7">
        <f>E36/C36</f>
        <v>0</v>
      </c>
      <c r="I36" s="9">
        <f>H36/'Model Summary'!$B$9</f>
        <v>0</v>
      </c>
    </row>
  </sheetData>
  <mergeCells count="1">
    <mergeCell ref="A1:I1"/>
  </mergeCells>
  <conditionalFormatting sqref="I14:I19">
    <cfRule type="colorScale" priority="2">
      <colorScale>
        <cfvo type="min" val="0"/>
        <cfvo type="percentile" val="50"/>
        <cfvo type="max" val="0"/>
        <color rgb="FFDCFCE7"/>
        <color rgb="FFFEF3C7"/>
        <color rgb="FFFECACA"/>
      </colorScale>
    </cfRule>
  </conditionalFormatting>
  <conditionalFormatting sqref="I23:I28">
    <cfRule type="colorScale" priority="3">
      <colorScale>
        <cfvo type="min" val="0"/>
        <cfvo type="percentile" val="50"/>
        <cfvo type="max" val="0"/>
        <color rgb="FFDCFCE7"/>
        <color rgb="FFFEF3C7"/>
        <color rgb="FFFECACA"/>
      </colorScale>
    </cfRule>
  </conditionalFormatting>
  <conditionalFormatting sqref="I32:I36">
    <cfRule type="colorScale" priority="4">
      <colorScale>
        <cfvo type="min" val="0"/>
        <cfvo type="percentile" val="50"/>
        <cfvo type="max" val="0"/>
        <color rgb="FFDCFCE7"/>
        <color rgb="FFFEF3C7"/>
        <color rgb="FFFECACA"/>
      </colorScale>
    </cfRule>
  </conditionalFormatting>
  <conditionalFormatting sqref="I4:I10">
    <cfRule type="colorScale" priority="1">
      <colorScale>
        <cfvo type="min" val="0"/>
        <cfvo type="percentile" val="50"/>
        <cfvo type="max" val="0"/>
        <color rgb="FFDCFCE7"/>
        <color rgb="FFFEF3C7"/>
        <color rgb="FFFECACA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10" width="16.7109375" customWidth="1"/>
  </cols>
  <sheetData>
    <row r="1" spans="1:10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80</v>
      </c>
      <c r="B3" s="2" t="s">
        <v>44</v>
      </c>
      <c r="C3" s="2" t="s">
        <v>45</v>
      </c>
      <c r="D3" s="2" t="s">
        <v>81</v>
      </c>
      <c r="E3" s="2" t="s">
        <v>82</v>
      </c>
      <c r="F3" s="2" t="s">
        <v>83</v>
      </c>
      <c r="G3" s="2" t="s">
        <v>84</v>
      </c>
      <c r="H3" s="2" t="s">
        <v>85</v>
      </c>
      <c r="I3" s="2" t="s">
        <v>50</v>
      </c>
      <c r="J3" s="2" t="s">
        <v>86</v>
      </c>
    </row>
    <row r="4" spans="1:10">
      <c r="A4" s="4">
        <v>1</v>
      </c>
      <c r="B4" s="4">
        <v>13561</v>
      </c>
      <c r="C4" s="5">
        <v>8047.842337749831</v>
      </c>
      <c r="D4" s="4">
        <v>381</v>
      </c>
      <c r="E4" s="7">
        <v>817066.1900000001</v>
      </c>
      <c r="F4" s="5">
        <v>531.9712704975656</v>
      </c>
      <c r="G4" s="7">
        <v>878510.6718200515</v>
      </c>
      <c r="H4" s="7">
        <f>E4/C4</f>
        <v>0</v>
      </c>
      <c r="I4" s="7">
        <f>G4/C4</f>
        <v>0</v>
      </c>
      <c r="J4" s="9">
        <f>E4/G4</f>
        <v>0</v>
      </c>
    </row>
    <row r="5" spans="1:10">
      <c r="A5" s="4">
        <v>2</v>
      </c>
      <c r="B5" s="4">
        <v>13560</v>
      </c>
      <c r="C5" s="5">
        <v>8067.424751104125</v>
      </c>
      <c r="D5" s="4">
        <v>398</v>
      </c>
      <c r="E5" s="7">
        <v>555067.1899999999</v>
      </c>
      <c r="F5" s="5">
        <v>538.0767295745304</v>
      </c>
      <c r="G5" s="7">
        <v>951867.6938271532</v>
      </c>
      <c r="H5" s="7">
        <f>E5/C5</f>
        <v>0</v>
      </c>
      <c r="I5" s="7">
        <f>G5/C5</f>
        <v>0</v>
      </c>
      <c r="J5" s="9">
        <f>E5/G5</f>
        <v>0</v>
      </c>
    </row>
    <row r="6" spans="1:10">
      <c r="A6" s="4">
        <v>3</v>
      </c>
      <c r="B6" s="4">
        <v>13560</v>
      </c>
      <c r="C6" s="5">
        <v>7877.269727524515</v>
      </c>
      <c r="D6" s="4">
        <v>412</v>
      </c>
      <c r="E6" s="7">
        <v>844654.33</v>
      </c>
      <c r="F6" s="5">
        <v>536.4675628408854</v>
      </c>
      <c r="G6" s="7">
        <v>976268.7496481676</v>
      </c>
      <c r="H6" s="7">
        <f>E6/C6</f>
        <v>0</v>
      </c>
      <c r="I6" s="7">
        <f>G6/C6</f>
        <v>0</v>
      </c>
      <c r="J6" s="9">
        <f>E6/G6</f>
        <v>0</v>
      </c>
    </row>
    <row r="7" spans="1:10">
      <c r="A7" s="4">
        <v>4</v>
      </c>
      <c r="B7" s="4">
        <v>13560</v>
      </c>
      <c r="C7" s="5">
        <v>7700.730011228386</v>
      </c>
      <c r="D7" s="4">
        <v>479</v>
      </c>
      <c r="E7" s="7">
        <v>700151.53</v>
      </c>
      <c r="F7" s="5">
        <v>540.0853034982171</v>
      </c>
      <c r="G7" s="7">
        <v>998347.6218915932</v>
      </c>
      <c r="H7" s="7">
        <f>E7/C7</f>
        <v>0</v>
      </c>
      <c r="I7" s="7">
        <f>G7/C7</f>
        <v>0</v>
      </c>
      <c r="J7" s="9">
        <f>E7/G7</f>
        <v>0</v>
      </c>
    </row>
    <row r="8" spans="1:10">
      <c r="A8" s="4">
        <v>5</v>
      </c>
      <c r="B8" s="4">
        <v>13561</v>
      </c>
      <c r="C8" s="5">
        <v>7561.475642637922</v>
      </c>
      <c r="D8" s="4">
        <v>488</v>
      </c>
      <c r="E8" s="7">
        <v>1039018.08</v>
      </c>
      <c r="F8" s="5">
        <v>546.166626054743</v>
      </c>
      <c r="G8" s="7">
        <v>1025350.046491855</v>
      </c>
      <c r="H8" s="7">
        <f>E8/C8</f>
        <v>0</v>
      </c>
      <c r="I8" s="7">
        <f>G8/C8</f>
        <v>0</v>
      </c>
      <c r="J8" s="9">
        <f>E8/G8</f>
        <v>0</v>
      </c>
    </row>
    <row r="9" spans="1:10">
      <c r="A9" s="4">
        <v>6</v>
      </c>
      <c r="B9" s="4">
        <v>13561</v>
      </c>
      <c r="C9" s="5">
        <v>7234.470827906281</v>
      </c>
      <c r="D9" s="4">
        <v>513</v>
      </c>
      <c r="E9" s="7">
        <v>1090641.15</v>
      </c>
      <c r="F9" s="5">
        <v>535.1715588424787</v>
      </c>
      <c r="G9" s="7">
        <v>1026558.648987786</v>
      </c>
      <c r="H9" s="7">
        <f>E9/C9</f>
        <v>0</v>
      </c>
      <c r="I9" s="7">
        <f>G9/C9</f>
        <v>0</v>
      </c>
      <c r="J9" s="9">
        <f>E9/G9</f>
        <v>0</v>
      </c>
    </row>
    <row r="10" spans="1:10">
      <c r="A10" s="4">
        <v>7</v>
      </c>
      <c r="B10" s="4">
        <v>13559</v>
      </c>
      <c r="C10" s="5">
        <v>6847.892467250543</v>
      </c>
      <c r="D10" s="4">
        <v>569</v>
      </c>
      <c r="E10" s="7">
        <v>1270270.7</v>
      </c>
      <c r="F10" s="5">
        <v>521.607740810052</v>
      </c>
      <c r="G10" s="7">
        <v>1020792.40062264</v>
      </c>
      <c r="H10" s="7">
        <f>E10/C10</f>
        <v>0</v>
      </c>
      <c r="I10" s="7">
        <f>G10/C10</f>
        <v>0</v>
      </c>
      <c r="J10" s="9">
        <f>E10/G10</f>
        <v>0</v>
      </c>
    </row>
    <row r="11" spans="1:10">
      <c r="A11" s="4">
        <v>8</v>
      </c>
      <c r="B11" s="4">
        <v>13560</v>
      </c>
      <c r="C11" s="5">
        <v>6571.816890485815</v>
      </c>
      <c r="D11" s="4">
        <v>629</v>
      </c>
      <c r="E11" s="7">
        <v>1359312.62</v>
      </c>
      <c r="F11" s="5">
        <v>519.0308752602458</v>
      </c>
      <c r="G11" s="7">
        <v>1039352.34545202</v>
      </c>
      <c r="H11" s="7">
        <f>E11/C11</f>
        <v>0</v>
      </c>
      <c r="I11" s="7">
        <f>G11/C11</f>
        <v>0</v>
      </c>
      <c r="J11" s="9">
        <f>E11/G11</f>
        <v>0</v>
      </c>
    </row>
    <row r="12" spans="1:10">
      <c r="A12" s="4">
        <v>9</v>
      </c>
      <c r="B12" s="4">
        <v>13560</v>
      </c>
      <c r="C12" s="5">
        <v>6124.375719739502</v>
      </c>
      <c r="D12" s="4">
        <v>692</v>
      </c>
      <c r="E12" s="7">
        <v>1444877.31</v>
      </c>
      <c r="F12" s="5">
        <v>504.0283028857816</v>
      </c>
      <c r="G12" s="7">
        <v>1044116.676895712</v>
      </c>
      <c r="H12" s="7">
        <f>E12/C12</f>
        <v>0</v>
      </c>
      <c r="I12" s="7">
        <f>G12/C12</f>
        <v>0</v>
      </c>
      <c r="J12" s="9">
        <f>E12/G12</f>
        <v>0</v>
      </c>
    </row>
    <row r="13" spans="1:10">
      <c r="A13" s="4">
        <v>10</v>
      </c>
      <c r="B13" s="4">
        <v>13561</v>
      </c>
      <c r="C13" s="5">
        <v>5562.894730893031</v>
      </c>
      <c r="D13" s="4">
        <v>838</v>
      </c>
      <c r="E13" s="7">
        <v>1893651.05</v>
      </c>
      <c r="F13" s="5">
        <v>477.2412260945437</v>
      </c>
      <c r="G13" s="7">
        <v>1090732.226911547</v>
      </c>
      <c r="H13" s="7">
        <f>E13/C13</f>
        <v>0</v>
      </c>
      <c r="I13" s="7">
        <f>G13/C13</f>
        <v>0</v>
      </c>
      <c r="J13" s="9">
        <f>E13/G13</f>
        <v>0</v>
      </c>
    </row>
  </sheetData>
  <mergeCells count="1">
    <mergeCell ref="A1:J1"/>
  </mergeCells>
  <conditionalFormatting sqref="J4:J13">
    <cfRule type="colorScale" priority="1">
      <colorScale>
        <cfvo type="min" val="0"/>
        <cfvo type="percentile" val="50"/>
        <cfvo type="max" val="0"/>
        <color rgb="FFDCFCE7"/>
        <color rgb="FFFEF3C7"/>
        <color rgb="FFFECACA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7"/>
  <sheetViews>
    <sheetView showGridLines="0" workbookViewId="0"/>
  </sheetViews>
  <sheetFormatPr defaultRowHeight="15"/>
  <cols>
    <col min="1" max="1" width="14.7109375" customWidth="1"/>
    <col min="2" max="3" width="12.7109375" customWidth="1"/>
    <col min="4" max="4" width="14.7109375" customWidth="1"/>
    <col min="5" max="6" width="12.7109375" customWidth="1"/>
    <col min="7" max="7" width="16.7109375" customWidth="1"/>
    <col min="8" max="9" width="12.7109375" customWidth="1"/>
    <col min="10" max="10" width="18.7109375" customWidth="1"/>
    <col min="11" max="12" width="12.7109375" customWidth="1"/>
  </cols>
  <sheetData>
    <row r="1" spans="1:12">
      <c r="A1" s="10" t="s">
        <v>87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4" spans="1:12">
      <c r="A4" s="11" t="s">
        <v>88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>
      <c r="A5" s="12" t="s">
        <v>44</v>
      </c>
      <c r="B5" s="12"/>
      <c r="C5" s="12"/>
      <c r="D5" s="12" t="s">
        <v>45</v>
      </c>
      <c r="E5" s="12"/>
      <c r="F5" s="12"/>
      <c r="G5" s="12" t="s">
        <v>48</v>
      </c>
      <c r="H5" s="12"/>
      <c r="I5" s="12"/>
      <c r="J5" s="12" t="s">
        <v>50</v>
      </c>
      <c r="K5" s="12"/>
      <c r="L5" s="12"/>
    </row>
    <row r="6" spans="1:12">
      <c r="A6" s="13">
        <f>'Model Summary'!B4</f>
        <v>0</v>
      </c>
      <c r="B6" s="13"/>
      <c r="C6" s="13"/>
      <c r="D6" s="14">
        <f>'Model Summary'!B5</f>
        <v>0</v>
      </c>
      <c r="E6" s="14"/>
      <c r="F6" s="14"/>
      <c r="G6" s="15">
        <f>'Model Summary'!B7</f>
        <v>0</v>
      </c>
      <c r="H6" s="15"/>
      <c r="I6" s="15"/>
      <c r="J6" s="16">
        <f>'Model Summary'!B9</f>
        <v>0</v>
      </c>
      <c r="K6" s="16"/>
      <c r="L6" s="16"/>
    </row>
    <row r="7" spans="1:12">
      <c r="A7" s="13"/>
      <c r="B7" s="13"/>
      <c r="C7" s="13"/>
      <c r="D7" s="14"/>
      <c r="E7" s="14"/>
      <c r="F7" s="14"/>
      <c r="G7" s="15"/>
      <c r="H7" s="15"/>
      <c r="I7" s="15"/>
      <c r="J7" s="16"/>
      <c r="K7" s="16"/>
      <c r="L7" s="16"/>
    </row>
    <row r="8" spans="1:12">
      <c r="A8" s="13"/>
      <c r="B8" s="13"/>
      <c r="C8" s="13"/>
      <c r="D8" s="14"/>
      <c r="E8" s="14"/>
      <c r="F8" s="14"/>
      <c r="G8" s="15"/>
      <c r="H8" s="15"/>
      <c r="I8" s="15"/>
      <c r="J8" s="16"/>
      <c r="K8" s="16"/>
      <c r="L8" s="16"/>
    </row>
    <row r="10" spans="1:12">
      <c r="A10" s="17" t="s">
        <v>89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spans="1:12">
      <c r="A11" s="12" t="s">
        <v>85</v>
      </c>
      <c r="B11" s="12"/>
      <c r="C11" s="12"/>
      <c r="D11" s="12" t="s">
        <v>50</v>
      </c>
      <c r="E11" s="12"/>
      <c r="F11" s="12"/>
      <c r="G11" s="12" t="s">
        <v>90</v>
      </c>
      <c r="H11" s="12"/>
      <c r="I11" s="12"/>
      <c r="J11" s="12" t="s">
        <v>91</v>
      </c>
      <c r="K11" s="12"/>
      <c r="L11" s="12"/>
    </row>
    <row r="12" spans="1:12">
      <c r="A12" s="18">
        <f>'Model Summary'!B12</f>
        <v>0</v>
      </c>
      <c r="B12" s="18"/>
      <c r="C12" s="18"/>
      <c r="D12" s="18">
        <f>'Model Summary'!B13</f>
        <v>0</v>
      </c>
      <c r="E12" s="18"/>
      <c r="F12" s="18"/>
      <c r="G12" s="19">
        <f>'Model Summary'!B14</f>
        <v>0</v>
      </c>
      <c r="H12" s="19"/>
      <c r="I12" s="19"/>
      <c r="J12" s="20">
        <f>'Model Summary'!B18</f>
        <v>0</v>
      </c>
      <c r="K12" s="20"/>
      <c r="L12" s="20"/>
    </row>
    <row r="13" spans="1:12">
      <c r="A13" s="18"/>
      <c r="B13" s="18"/>
      <c r="C13" s="18"/>
      <c r="D13" s="18"/>
      <c r="E13" s="18"/>
      <c r="F13" s="18"/>
      <c r="G13" s="19"/>
      <c r="H13" s="19"/>
      <c r="I13" s="19"/>
      <c r="J13" s="20"/>
      <c r="K13" s="20"/>
      <c r="L13" s="20"/>
    </row>
    <row r="14" spans="1:12">
      <c r="A14" s="18"/>
      <c r="B14" s="18"/>
      <c r="C14" s="18"/>
      <c r="D14" s="18"/>
      <c r="E14" s="18"/>
      <c r="F14" s="18"/>
      <c r="G14" s="19"/>
      <c r="H14" s="19"/>
      <c r="I14" s="19"/>
      <c r="J14" s="20"/>
      <c r="K14" s="20"/>
      <c r="L14" s="20"/>
    </row>
    <row r="16" spans="1:12">
      <c r="A16" s="21">
        <f>"Validation note: the combined model improved Tweedie deviance by "&amp;TEXT('Model Summary'!B17,"0.00%")&amp;" versus the baseline and produced a positive ordered Gini of "&amp;TEXT('Model Summary'!B18,"0.0000")&amp;". The model ranked high-risk policies effectively, but underpredicted "&amp;"total holdout losses by "&amp;TEXT(ABS('Model Summary'!B14),"0.00%")&amp;", indicating room for further calibration."</f>
        <v>0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spans="1:12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</row>
  </sheetData>
  <mergeCells count="12">
    <mergeCell ref="A1:L2"/>
    <mergeCell ref="A4:L4"/>
    <mergeCell ref="A6:C8"/>
    <mergeCell ref="D6:F8"/>
    <mergeCell ref="G6:I8"/>
    <mergeCell ref="J6:L8"/>
    <mergeCell ref="A10:L10"/>
    <mergeCell ref="A12:C14"/>
    <mergeCell ref="D12:F14"/>
    <mergeCell ref="G12:I14"/>
    <mergeCell ref="J12:L14"/>
    <mergeCell ref="A16:L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80.7109375" customWidth="1"/>
    <col min="3" max="3" width="45.7109375" customWidth="1"/>
    <col min="4" max="6" width="10.7109375" customWidth="1"/>
  </cols>
  <sheetData>
    <row r="1" spans="1:3">
      <c r="A1" s="1" t="s">
        <v>92</v>
      </c>
      <c r="B1" s="1"/>
      <c r="C1" s="1"/>
    </row>
    <row r="3" spans="1:3">
      <c r="A3" s="2" t="s">
        <v>93</v>
      </c>
      <c r="B3" s="2" t="s">
        <v>94</v>
      </c>
      <c r="C3" s="2"/>
    </row>
    <row r="4" spans="1:3">
      <c r="A4" s="3" t="s">
        <v>95</v>
      </c>
      <c r="B4" s="3" t="s">
        <v>96</v>
      </c>
      <c r="C4" s="3"/>
    </row>
    <row r="5" spans="1:3">
      <c r="A5" s="3" t="s">
        <v>97</v>
      </c>
      <c r="B5" s="3" t="s">
        <v>98</v>
      </c>
      <c r="C5" s="3"/>
    </row>
    <row r="6" spans="1:3">
      <c r="A6" s="3" t="s">
        <v>99</v>
      </c>
      <c r="B6" s="3" t="s">
        <v>100</v>
      </c>
      <c r="C6" s="3"/>
    </row>
    <row r="7" spans="1:3">
      <c r="A7" s="3" t="s">
        <v>101</v>
      </c>
      <c r="B7" s="3" t="s">
        <v>102</v>
      </c>
      <c r="C7" s="3"/>
    </row>
    <row r="8" spans="1:3">
      <c r="A8" s="3" t="s">
        <v>103</v>
      </c>
      <c r="B8" s="3" t="s">
        <v>104</v>
      </c>
      <c r="C8" s="3"/>
    </row>
    <row r="9" spans="1:3">
      <c r="A9" s="3" t="s">
        <v>105</v>
      </c>
      <c r="B9" s="3" t="s">
        <v>106</v>
      </c>
      <c r="C9" s="3"/>
    </row>
    <row r="10" spans="1:3">
      <c r="A10" s="3" t="s">
        <v>107</v>
      </c>
      <c r="B10" s="3" t="s">
        <v>108</v>
      </c>
      <c r="C10" s="3"/>
    </row>
    <row r="11" spans="1:3">
      <c r="A11" s="3" t="s">
        <v>107</v>
      </c>
      <c r="B11" s="3" t="s">
        <v>109</v>
      </c>
      <c r="C11" s="3"/>
    </row>
    <row r="12" spans="1:3">
      <c r="A12" s="3" t="s">
        <v>110</v>
      </c>
      <c r="B12" s="3" t="s">
        <v>111</v>
      </c>
      <c r="C12" s="3" t="s">
        <v>112</v>
      </c>
    </row>
    <row r="13" spans="1:3">
      <c r="A13" s="3" t="s">
        <v>113</v>
      </c>
      <c r="B13" s="3" t="s">
        <v>114</v>
      </c>
      <c r="C13" s="3" t="s">
        <v>115</v>
      </c>
    </row>
  </sheetData>
  <mergeCells count="1">
    <mergeCell ref="A1:C1"/>
  </mergeCells>
  <hyperlinks>
    <hyperlink ref="C12" r:id="rId1"/>
    <hyperlink ref="C1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 Summary</vt:lpstr>
      <vt:lpstr>Segment Pricing</vt:lpstr>
      <vt:lpstr>Validation</vt:lpstr>
      <vt:lpstr>Dashboard</vt:lpstr>
      <vt:lpstr>Methodology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2026-09-28T16:24:08Z</dcterms:created>
  <dcterms:modified xsi:type="dcterms:W3CDTF">2026-09-28T16:24:08Z</dcterms:modified>
</cp:coreProperties>
</file>